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d41ed139d45e9f2/Desktop/DATA SCIENCE RESOURCES/customer sla-data-breach/"/>
    </mc:Choice>
  </mc:AlternateContent>
  <xr:revisionPtr revIDLastSave="155" documentId="11_085D3FCFD6595C2F640EB8F450245E3FB48F893D" xr6:coauthVersionLast="47" xr6:coauthVersionMax="47" xr10:uidLastSave="{CC512892-5A2E-4959-899D-AFE96C396CCE}"/>
  <bookViews>
    <workbookView xWindow="-108" yWindow="-108" windowWidth="23256" windowHeight="12456" activeTab="2" xr2:uid="{00000000-000D-0000-FFFF-FFFF00000000}"/>
  </bookViews>
  <sheets>
    <sheet name="Revenue Impact Summary" sheetId="3" r:id="rId1"/>
    <sheet name="Trade-off Comparison" sheetId="5" r:id="rId2"/>
    <sheet name="Daily Ticket Prioritization" sheetId="1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H3" i="1"/>
  <c r="H4" i="1"/>
  <c r="H5" i="1"/>
  <c r="H6" i="1"/>
  <c r="H7" i="1"/>
</calcChain>
</file>

<file path=xl/sharedStrings.xml><?xml version="1.0" encoding="utf-8"?>
<sst xmlns="http://schemas.openxmlformats.org/spreadsheetml/2006/main" count="62" uniqueCount="51">
  <si>
    <t>ticket_id</t>
  </si>
  <si>
    <t>priority</t>
  </si>
  <si>
    <t>sla_status</t>
  </si>
  <si>
    <t>churn_risk</t>
  </si>
  <si>
    <t>revenue_at_risk</t>
  </si>
  <si>
    <t>priority_score</t>
  </si>
  <si>
    <t>T105</t>
  </si>
  <si>
    <t>Critical</t>
  </si>
  <si>
    <t>BREACHED</t>
  </si>
  <si>
    <t>T104</t>
  </si>
  <si>
    <t>NEAR_BREACH</t>
  </si>
  <si>
    <t>T103</t>
  </si>
  <si>
    <t>High</t>
  </si>
  <si>
    <t>T102</t>
  </si>
  <si>
    <t>SAFE</t>
  </si>
  <si>
    <t>T101</t>
  </si>
  <si>
    <t>Medium</t>
  </si>
  <si>
    <t>Rank</t>
  </si>
  <si>
    <t>Action</t>
  </si>
  <si>
    <t>Daily Support Ticket Prioritization — Revenue Risk Based</t>
  </si>
  <si>
    <t>Revenue Impact Summary</t>
  </si>
  <si>
    <t>Fix_Today</t>
  </si>
  <si>
    <t>Count of ticket_id</t>
  </si>
  <si>
    <t>Sum of revenue_at_risk</t>
  </si>
  <si>
    <t>Yes</t>
  </si>
  <si>
    <t>SUMMARY :</t>
  </si>
  <si>
    <t>Metric</t>
  </si>
  <si>
    <t>Value</t>
  </si>
  <si>
    <t>Total Open Tickets</t>
  </si>
  <si>
    <t>= from Pivot 1</t>
  </si>
  <si>
    <t>Tickets Fixed Today</t>
  </si>
  <si>
    <t>= from Pivot 2</t>
  </si>
  <si>
    <t>% Tickets Fixed</t>
  </si>
  <si>
    <t>Total Revenue at Risk</t>
  </si>
  <si>
    <t>Revenue Protected</t>
  </si>
  <si>
    <t>% Revenue Protected</t>
  </si>
  <si>
    <t>Fixed / Total</t>
  </si>
  <si>
    <t>Protected / Total</t>
  </si>
  <si>
    <t>THIS 87% NUMBER IS THE PAYOFF OF THE ENTIRE PROJECT</t>
  </si>
  <si>
    <r>
      <t xml:space="preserve">Fixing just 2 out of 5 tickets </t>
    </r>
    <r>
      <rPr>
        <b/>
        <sz val="11"/>
        <color theme="1"/>
        <rFont val="Calibri"/>
        <family val="2"/>
        <scheme val="minor"/>
      </rPr>
      <t>today 40% protects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87% of the total revenue at risk</t>
    </r>
    <r>
      <rPr>
        <sz val="11"/>
        <color theme="1"/>
        <rFont val="Calibri"/>
        <family val="2"/>
        <scheme val="minor"/>
      </rPr>
      <t>.</t>
    </r>
  </si>
  <si>
    <t>Strategy</t>
  </si>
  <si>
    <t>Tickets Fixed</t>
  </si>
  <si>
    <t>FIFO</t>
  </si>
  <si>
    <t>~₹55,000</t>
  </si>
  <si>
    <t>SLA-only</t>
  </si>
  <si>
    <t>~₹2.4L</t>
  </si>
  <si>
    <t>Revenue-risk (Our approach)</t>
  </si>
  <si>
    <t>₹6.4L</t>
  </si>
  <si>
    <t>Trade-off Comparison: Ticket Prioritization Strategies</t>
  </si>
  <si>
    <t xml:space="preserve">Under identical capacity constraints, revenue-risk </t>
  </si>
  <si>
    <t>prioritization protects significantly more business value than FIFO or SLA-only approaches.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</si>
</sst>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7" formatCode="_ &quot;₹&quot;\ * #,##0_ ;_ &quot;₹&quot;\ * \-#,##0_ ;_ &quot;₹&quot;\ * &quot;-&quot;??_ ;_ @_ "/>
    <numFmt numFmtId="169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167" fontId="0" fillId="0" borderId="0" xfId="1" applyNumberFormat="1" applyFont="1"/>
    <xf numFmtId="169" fontId="0" fillId="0" borderId="0" xfId="0" applyNumberFormat="1"/>
    <xf numFmtId="1" fontId="0" fillId="0" borderId="0" xfId="0" applyNumberFormat="1"/>
    <xf numFmtId="0" fontId="0" fillId="0" borderId="0" xfId="0" applyNumberFormat="1"/>
    <xf numFmtId="167" fontId="0" fillId="0" borderId="0" xfId="0" applyNumberFormat="1"/>
    <xf numFmtId="0" fontId="0" fillId="0" borderId="0" xfId="0" pivotButton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3" fillId="0" borderId="0" xfId="0" applyNumberFormat="1" applyFont="1"/>
    <xf numFmtId="0" fontId="3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3" fillId="0" borderId="0" xfId="0" applyFont="1"/>
  </cellXfs>
  <cellStyles count="2">
    <cellStyle name="Currency" xfId="1" builtinId="4"/>
    <cellStyle name="Normal" xfId="0" builtinId="0"/>
  </cellStyles>
  <dxfs count="7">
    <dxf>
      <numFmt numFmtId="0" formatCode="General"/>
    </dxf>
    <dxf>
      <numFmt numFmtId="1" formatCode="0"/>
    </dxf>
    <dxf>
      <numFmt numFmtId="0" formatCode="General"/>
    </dxf>
    <dxf>
      <numFmt numFmtId="167" formatCode="_ &quot;₹&quot;\ * #,##0_ ;_ &quot;₹&quot;\ * \-#,##0_ ;_ &quot;₹&quot;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'Trade-off Comparison'!$A$5:$C$5</c:f>
              <c:strCache>
                <c:ptCount val="3"/>
                <c:pt idx="0">
                  <c:v>FIFO</c:v>
                </c:pt>
                <c:pt idx="1">
                  <c:v>2</c:v>
                </c:pt>
                <c:pt idx="2">
                  <c:v>~₹55,000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'Trade-off Comparison'!$D$4</c:f>
              <c:strCache>
                <c:ptCount val="1"/>
                <c:pt idx="0">
                  <c:v>% Revenue Protected</c:v>
                </c:pt>
              </c:strCache>
            </c:strRef>
          </c:cat>
          <c:val>
            <c:numRef>
              <c:f>'Trade-off Comparison'!$D$5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4-42DD-A92B-7E20BF0F3F45}"/>
            </c:ext>
          </c:extLst>
        </c:ser>
        <c:ser>
          <c:idx val="1"/>
          <c:order val="1"/>
          <c:tx>
            <c:strRef>
              <c:f>'Trade-off Comparison'!$A$6:$C$6</c:f>
              <c:strCache>
                <c:ptCount val="3"/>
                <c:pt idx="0">
                  <c:v>SLA-only</c:v>
                </c:pt>
                <c:pt idx="1">
                  <c:v>2</c:v>
                </c:pt>
                <c:pt idx="2">
                  <c:v>~₹2.4L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'Trade-off Comparison'!$D$4</c:f>
              <c:strCache>
                <c:ptCount val="1"/>
                <c:pt idx="0">
                  <c:v>% Revenue Protected</c:v>
                </c:pt>
              </c:strCache>
            </c:strRef>
          </c:cat>
          <c:val>
            <c:numRef>
              <c:f>'Trade-off Comparison'!$D$6</c:f>
              <c:numCache>
                <c:formatCode>0%</c:formatCode>
                <c:ptCount val="1"/>
                <c:pt idx="0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4-42DD-A92B-7E20BF0F3F45}"/>
            </c:ext>
          </c:extLst>
        </c:ser>
        <c:ser>
          <c:idx val="2"/>
          <c:order val="2"/>
          <c:tx>
            <c:strRef>
              <c:f>'Trade-off Comparison'!$A$7:$C$7</c:f>
              <c:strCache>
                <c:ptCount val="3"/>
                <c:pt idx="0">
                  <c:v>Revenue-risk (Our approach)</c:v>
                </c:pt>
                <c:pt idx="1">
                  <c:v>2</c:v>
                </c:pt>
                <c:pt idx="2">
                  <c:v>₹6.4L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'Trade-off Comparison'!$D$4</c:f>
              <c:strCache>
                <c:ptCount val="1"/>
                <c:pt idx="0">
                  <c:v>% Revenue Protected</c:v>
                </c:pt>
              </c:strCache>
            </c:strRef>
          </c:cat>
          <c:val>
            <c:numRef>
              <c:f>'Trade-off Comparison'!$D$7</c:f>
              <c:numCache>
                <c:formatCode>0%</c:formatCode>
                <c:ptCount val="1"/>
                <c:pt idx="0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4-42DD-A92B-7E20BF0F3F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4614767"/>
        <c:axId val="504610927"/>
      </c:barChart>
      <c:catAx>
        <c:axId val="50461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10927"/>
        <c:crosses val="autoZero"/>
        <c:auto val="1"/>
        <c:lblAlgn val="ctr"/>
        <c:lblOffset val="100"/>
        <c:noMultiLvlLbl val="0"/>
      </c:catAx>
      <c:valAx>
        <c:axId val="5046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Strategies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1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3</xdr:row>
      <xdr:rowOff>727710</xdr:rowOff>
    </xdr:from>
    <xdr:to>
      <xdr:col>7</xdr:col>
      <xdr:colOff>304800</xdr:colOff>
      <xdr:row>15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4BEEC-5214-1C9D-5BE5-8660EB4AD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bha" refreshedDate="46025.937974768516" createdVersion="8" refreshedVersion="8" minRefreshableVersion="3" recordCount="5" xr:uid="{AC1A7014-E4D3-4B0F-8E18-D36345E07F78}">
  <cacheSource type="worksheet">
    <worksheetSource name="Table1"/>
  </cacheSource>
  <cacheFields count="9">
    <cacheField name="Rank" numFmtId="0">
      <sharedItems containsSemiMixedTypes="0" containsString="0" containsNumber="1" containsInteger="1" minValue="1" maxValue="5"/>
    </cacheField>
    <cacheField name="ticket_id" numFmtId="0">
      <sharedItems/>
    </cacheField>
    <cacheField name="priority" numFmtId="0">
      <sharedItems/>
    </cacheField>
    <cacheField name="sla_status" numFmtId="0">
      <sharedItems/>
    </cacheField>
    <cacheField name="churn_risk" numFmtId="169">
      <sharedItems containsSemiMixedTypes="0" containsString="0" containsNumber="1" minValue="0.12" maxValue="0.41"/>
    </cacheField>
    <cacheField name="revenue_at_risk" numFmtId="167">
      <sharedItems containsSemiMixedTypes="0" containsString="0" containsNumber="1" containsInteger="1" minValue="720" maxValue="590400"/>
    </cacheField>
    <cacheField name="priority_score" numFmtId="1">
      <sharedItems containsSemiMixedTypes="0" containsString="0" containsNumber="1" minValue="30" maxValue="84342.857142857145"/>
    </cacheField>
    <cacheField name="Action" numFmtId="0">
      <sharedItems/>
    </cacheField>
    <cacheField name="Fix_Today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T105"/>
    <s v="Critical"/>
    <s v="BREACHED"/>
    <n v="0.41"/>
    <n v="590400"/>
    <n v="84342.857142857145"/>
    <s v="Fix immediately"/>
    <x v="0"/>
  </r>
  <r>
    <n v="2"/>
    <s v="T104"/>
    <s v="Critical"/>
    <s v="NEAR_BREACH"/>
    <n v="0.2"/>
    <n v="50400"/>
    <n v="22400"/>
    <s v="Fix today"/>
    <x v="0"/>
  </r>
  <r>
    <n v="3"/>
    <s v="T103"/>
    <s v="High"/>
    <s v="BREACHED"/>
    <n v="0.37"/>
    <n v="44400"/>
    <n v="9866.6666666666661"/>
    <s v="Assign if capacity"/>
    <x v="1"/>
  </r>
  <r>
    <n v="4"/>
    <s v="T102"/>
    <s v="High"/>
    <s v="SAFE"/>
    <n v="0.24"/>
    <n v="3456"/>
    <n v="518.39740801296"/>
    <s v="Defer / Backlog"/>
    <x v="1"/>
  </r>
  <r>
    <n v="5"/>
    <s v="T101"/>
    <s v="Medium"/>
    <s v="SAFE"/>
    <n v="0.12"/>
    <n v="720"/>
    <n v="30"/>
    <s v="Defer / Backlo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46C3C-2F7A-4A92-9F2C-316F44736229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2" firstHeaderRow="0" firstDataRow="1" firstDataCol="0" rowPageCount="1" colPageCount="1"/>
  <pivotFields count="9">
    <pivotField showAll="0"/>
    <pivotField dataField="1" showAll="0"/>
    <pivotField showAll="0"/>
    <pivotField showAll="0"/>
    <pivotField numFmtId="169" showAll="0"/>
    <pivotField dataField="1" numFmtId="167" showAll="0"/>
    <pivotField numFmtId="1" showAll="0"/>
    <pivotField showAll="0"/>
    <pivotField axis="axisPage" showAll="0">
      <items count="3">
        <item x="1"/>
        <item x="0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8" item="1" hier="-1"/>
  </pageFields>
  <dataFields count="2">
    <dataField name="Count of ticket_id" fld="1" subtotal="count" baseField="0" baseItem="0"/>
    <dataField name="Sum of revenue_at_risk" fld="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9201F-50D8-4792-BBF8-88E950F4525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6" firstHeaderRow="0" firstDataRow="1" firstDataCol="0"/>
  <pivotFields count="9">
    <pivotField showAll="0"/>
    <pivotField dataField="1" showAll="0"/>
    <pivotField showAll="0"/>
    <pivotField showAll="0"/>
    <pivotField numFmtId="169" showAll="0"/>
    <pivotField dataField="1" numFmtId="167" showAll="0"/>
    <pivotField numFmtI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ticket_id" fld="1" subtotal="count" baseField="0" baseItem="0"/>
    <dataField name="Sum of revenue_at_risk" fld="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E0FE5-FB36-423D-ACD2-48D4AA48568F}" name="Table1" displayName="Table1" ref="A2:I7" totalsRowShown="0" headerRowDxfId="4" headerRowBorderDxfId="5" tableBorderDxfId="6">
  <autoFilter ref="A2:I7" xr:uid="{103E0FE5-FB36-423D-ACD2-48D4AA48568F}"/>
  <tableColumns count="9">
    <tableColumn id="7" xr3:uid="{D07C7CF0-D9D5-4F59-80B1-03612A7E932E}" name="Rank"/>
    <tableColumn id="1" xr3:uid="{FB493272-F424-4283-9FF7-E3C1810F3928}" name="ticket_id"/>
    <tableColumn id="2" xr3:uid="{E6B2264F-7DB0-4085-8B2C-C2AF68DA7742}" name="priority"/>
    <tableColumn id="3" xr3:uid="{D58A88B1-1A84-43B2-A792-975964EB9F6A}" name="sla_status"/>
    <tableColumn id="4" xr3:uid="{9B4A7BD8-CA08-4C6F-ABF3-FEB3C9ACE5F7}" name="churn_risk"/>
    <tableColumn id="5" xr3:uid="{51350B27-5CBC-4625-BA77-8B43B30CCBA6}" name="revenue_at_risk" dataDxfId="3" dataCellStyle="Currency"/>
    <tableColumn id="6" xr3:uid="{A97A0604-8351-4661-9F55-E44FFB59B438}" name="priority_score" dataDxfId="1"/>
    <tableColumn id="9" xr3:uid="{BD67AACD-3916-4BC6-B2D5-C295322415E4}" name="Action" dataDxfId="2">
      <calculatedColumnFormula>IF(Table1[[#This Row],[Rank]]=1,"Fix immediately",
IF(Table1[[#This Row],[Rank]]&lt;=2,"Fix today",
IF(Table1[[#This Row],[Rank]]&lt;=3,"Assign if capacity","Defer / Backlog")))</calculatedColumnFormula>
    </tableColumn>
    <tableColumn id="10" xr3:uid="{CBACD2B1-B374-4FC0-9B89-40BE44F85A09}" name="Fix_Today" dataDxfId="0">
      <calculatedColumnFormula>IF(Table1[[#This Row],[Rank]]&lt;=2,"Yes","No")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C267-6D08-4E50-A6F3-195B597B838C}">
  <dimension ref="A1:G14"/>
  <sheetViews>
    <sheetView showGridLines="0" zoomScale="86" workbookViewId="0">
      <selection activeCell="F30" sqref="F30"/>
    </sheetView>
  </sheetViews>
  <sheetFormatPr defaultRowHeight="14.4" x14ac:dyDescent="0.3"/>
  <cols>
    <col min="1" max="1" width="16.109375" bestFit="1" customWidth="1"/>
    <col min="2" max="2" width="21.109375" bestFit="1" customWidth="1"/>
    <col min="3" max="3" width="19.21875" customWidth="1"/>
    <col min="5" max="5" width="29.33203125" customWidth="1"/>
    <col min="6" max="6" width="16.109375" customWidth="1"/>
    <col min="7" max="7" width="15" customWidth="1"/>
    <col min="13" max="13" width="15.88671875" bestFit="1" customWidth="1"/>
    <col min="14" max="14" width="29" bestFit="1" customWidth="1"/>
  </cols>
  <sheetData>
    <row r="1" spans="1:7" x14ac:dyDescent="0.3">
      <c r="E1" s="16" t="s">
        <v>20</v>
      </c>
    </row>
    <row r="3" spans="1:7" x14ac:dyDescent="0.3">
      <c r="D3" t="s">
        <v>39</v>
      </c>
    </row>
    <row r="5" spans="1:7" x14ac:dyDescent="0.3">
      <c r="A5" t="s">
        <v>22</v>
      </c>
      <c r="B5" t="s">
        <v>23</v>
      </c>
      <c r="E5" t="s">
        <v>25</v>
      </c>
    </row>
    <row r="6" spans="1:7" x14ac:dyDescent="0.3">
      <c r="A6" s="7">
        <v>5</v>
      </c>
      <c r="B6" s="8">
        <v>689376</v>
      </c>
      <c r="E6" s="10" t="s">
        <v>26</v>
      </c>
      <c r="F6" s="10" t="s">
        <v>27</v>
      </c>
    </row>
    <row r="7" spans="1:7" x14ac:dyDescent="0.3">
      <c r="E7" s="11" t="s">
        <v>28</v>
      </c>
      <c r="F7" s="11" t="s">
        <v>29</v>
      </c>
      <c r="G7">
        <v>5</v>
      </c>
    </row>
    <row r="8" spans="1:7" x14ac:dyDescent="0.3">
      <c r="E8" s="11" t="s">
        <v>30</v>
      </c>
      <c r="F8" s="11" t="s">
        <v>31</v>
      </c>
      <c r="G8">
        <v>2</v>
      </c>
    </row>
    <row r="9" spans="1:7" x14ac:dyDescent="0.3">
      <c r="A9" s="9" t="s">
        <v>21</v>
      </c>
      <c r="B9" t="s">
        <v>24</v>
      </c>
      <c r="E9" s="13" t="s">
        <v>32</v>
      </c>
      <c r="F9" s="11" t="s">
        <v>36</v>
      </c>
      <c r="G9" s="12">
        <v>0.4</v>
      </c>
    </row>
    <row r="10" spans="1:7" x14ac:dyDescent="0.3">
      <c r="E10" s="11" t="s">
        <v>33</v>
      </c>
      <c r="F10" s="11" t="s">
        <v>29</v>
      </c>
      <c r="G10" s="8">
        <v>689376</v>
      </c>
    </row>
    <row r="11" spans="1:7" x14ac:dyDescent="0.3">
      <c r="A11" t="s">
        <v>22</v>
      </c>
      <c r="B11" t="s">
        <v>23</v>
      </c>
      <c r="E11" s="11" t="s">
        <v>34</v>
      </c>
      <c r="F11" s="11" t="s">
        <v>31</v>
      </c>
      <c r="G11" s="8">
        <v>640800</v>
      </c>
    </row>
    <row r="12" spans="1:7" x14ac:dyDescent="0.3">
      <c r="A12" s="7">
        <v>2</v>
      </c>
      <c r="B12" s="8">
        <v>640800</v>
      </c>
      <c r="E12" s="13" t="s">
        <v>35</v>
      </c>
      <c r="F12" s="11" t="s">
        <v>37</v>
      </c>
      <c r="G12" s="12">
        <v>0.87</v>
      </c>
    </row>
    <row r="14" spans="1:7" x14ac:dyDescent="0.3">
      <c r="E1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3B5F-6CEA-40E8-870C-95F908A7BFCD}">
  <dimension ref="A1:E11"/>
  <sheetViews>
    <sheetView showGridLines="0" workbookViewId="0">
      <selection activeCell="E1" sqref="E1"/>
    </sheetView>
  </sheetViews>
  <sheetFormatPr defaultRowHeight="14.4" x14ac:dyDescent="0.3"/>
  <cols>
    <col min="1" max="1" width="42.33203125" customWidth="1"/>
    <col min="3" max="3" width="12.109375" customWidth="1"/>
    <col min="4" max="4" width="18.109375" customWidth="1"/>
    <col min="5" max="5" width="48" customWidth="1"/>
  </cols>
  <sheetData>
    <row r="1" spans="1:5" x14ac:dyDescent="0.3">
      <c r="E1" s="16" t="s">
        <v>48</v>
      </c>
    </row>
    <row r="4" spans="1:5" ht="57.6" x14ac:dyDescent="0.3">
      <c r="A4" s="10" t="s">
        <v>40</v>
      </c>
      <c r="B4" s="10" t="s">
        <v>41</v>
      </c>
      <c r="C4" s="10" t="s">
        <v>34</v>
      </c>
      <c r="D4" s="10" t="s">
        <v>35</v>
      </c>
    </row>
    <row r="5" spans="1:5" x14ac:dyDescent="0.3">
      <c r="A5" s="11" t="s">
        <v>42</v>
      </c>
      <c r="B5" s="11">
        <v>2</v>
      </c>
      <c r="C5" s="11" t="s">
        <v>43</v>
      </c>
      <c r="D5" s="14">
        <v>0.08</v>
      </c>
    </row>
    <row r="6" spans="1:5" x14ac:dyDescent="0.3">
      <c r="A6" s="11" t="s">
        <v>44</v>
      </c>
      <c r="B6" s="11">
        <v>2</v>
      </c>
      <c r="C6" s="11" t="s">
        <v>45</v>
      </c>
      <c r="D6" s="14">
        <v>0.35</v>
      </c>
    </row>
    <row r="7" spans="1:5" ht="57.6" x14ac:dyDescent="0.3">
      <c r="A7" s="11" t="s">
        <v>46</v>
      </c>
      <c r="B7" s="11">
        <v>2</v>
      </c>
      <c r="C7" s="11" t="s">
        <v>47</v>
      </c>
      <c r="D7" s="15">
        <v>0.87</v>
      </c>
    </row>
    <row r="10" spans="1:5" x14ac:dyDescent="0.3">
      <c r="A10" t="s">
        <v>49</v>
      </c>
    </row>
    <row r="11" spans="1:5" x14ac:dyDescent="0.3">
      <c r="A11" t="s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showGridLines="0" tabSelected="1" workbookViewId="0">
      <selection activeCell="E19" sqref="E19"/>
    </sheetView>
  </sheetViews>
  <sheetFormatPr defaultRowHeight="14.4" x14ac:dyDescent="0.3"/>
  <cols>
    <col min="1" max="1" width="10.109375" customWidth="1"/>
    <col min="2" max="2" width="9" customWidth="1"/>
    <col min="3" max="3" width="16.88671875" customWidth="1"/>
    <col min="4" max="4" width="13.77734375" customWidth="1"/>
    <col min="5" max="5" width="16.33203125" customWidth="1"/>
    <col min="6" max="6" width="22.33203125" customWidth="1"/>
    <col min="7" max="9" width="19.44140625" customWidth="1"/>
  </cols>
  <sheetData>
    <row r="1" spans="1:9" x14ac:dyDescent="0.3">
      <c r="D1" s="16" t="s">
        <v>19</v>
      </c>
    </row>
    <row r="2" spans="1:9" x14ac:dyDescent="0.3">
      <c r="A2" s="2" t="s">
        <v>17</v>
      </c>
      <c r="B2" s="1" t="s">
        <v>0</v>
      </c>
      <c r="C2" s="1" t="s">
        <v>1</v>
      </c>
      <c r="D2" s="1" t="s">
        <v>2</v>
      </c>
      <c r="E2" s="1" t="s">
        <v>3</v>
      </c>
      <c r="F2" s="3" t="s">
        <v>4</v>
      </c>
      <c r="G2" s="1" t="s">
        <v>5</v>
      </c>
      <c r="H2" s="1" t="s">
        <v>18</v>
      </c>
      <c r="I2" s="2" t="s">
        <v>21</v>
      </c>
    </row>
    <row r="3" spans="1:9" x14ac:dyDescent="0.3">
      <c r="A3">
        <v>1</v>
      </c>
      <c r="B3" t="s">
        <v>6</v>
      </c>
      <c r="C3" t="s">
        <v>7</v>
      </c>
      <c r="D3" t="s">
        <v>8</v>
      </c>
      <c r="E3" s="5">
        <v>0.41</v>
      </c>
      <c r="F3" s="4">
        <v>590400</v>
      </c>
      <c r="G3" s="6">
        <v>84342.857142857145</v>
      </c>
      <c r="H3" t="str">
        <f>IF(Table1[[#This Row],[Rank]]=1,"Fix immediately",
IF(Table1[[#This Row],[Rank]]&lt;=2,"Fix today",
IF(Table1[[#This Row],[Rank]]&lt;=3,"Assign if capacity","Defer / Backlog")))</f>
        <v>Fix immediately</v>
      </c>
      <c r="I3" t="str">
        <f>IF(Table1[[#This Row],[Rank]]&lt;=2,"Yes","No")</f>
        <v>Yes</v>
      </c>
    </row>
    <row r="4" spans="1:9" x14ac:dyDescent="0.3">
      <c r="A4">
        <v>2</v>
      </c>
      <c r="B4" t="s">
        <v>9</v>
      </c>
      <c r="C4" t="s">
        <v>7</v>
      </c>
      <c r="D4" t="s">
        <v>10</v>
      </c>
      <c r="E4" s="5">
        <v>0.2</v>
      </c>
      <c r="F4" s="4">
        <v>50400</v>
      </c>
      <c r="G4" s="6">
        <v>22400</v>
      </c>
      <c r="H4" t="str">
        <f>IF(Table1[[#This Row],[Rank]]=1,"Fix immediately",
IF(Table1[[#This Row],[Rank]]&lt;=2,"Fix today",
IF(Table1[[#This Row],[Rank]]&lt;=3,"Assign if capacity","Defer / Backlog")))</f>
        <v>Fix today</v>
      </c>
      <c r="I4" t="str">
        <f>IF(Table1[[#This Row],[Rank]]&lt;=2,"Yes","No")</f>
        <v>Yes</v>
      </c>
    </row>
    <row r="5" spans="1:9" x14ac:dyDescent="0.3">
      <c r="A5">
        <v>3</v>
      </c>
      <c r="B5" t="s">
        <v>11</v>
      </c>
      <c r="C5" t="s">
        <v>12</v>
      </c>
      <c r="D5" t="s">
        <v>8</v>
      </c>
      <c r="E5" s="5">
        <v>0.37</v>
      </c>
      <c r="F5" s="4">
        <v>44400</v>
      </c>
      <c r="G5" s="6">
        <v>9866.6666666666661</v>
      </c>
      <c r="H5" t="str">
        <f>IF(Table1[[#This Row],[Rank]]=1,"Fix immediately",
IF(Table1[[#This Row],[Rank]]&lt;=2,"Fix today",
IF(Table1[[#This Row],[Rank]]&lt;=3,"Assign if capacity","Defer / Backlog")))</f>
        <v>Assign if capacity</v>
      </c>
      <c r="I5" t="str">
        <f>IF(Table1[[#This Row],[Rank]]&lt;=2,"Yes","No")</f>
        <v>No</v>
      </c>
    </row>
    <row r="6" spans="1:9" x14ac:dyDescent="0.3">
      <c r="A6">
        <v>4</v>
      </c>
      <c r="B6" t="s">
        <v>13</v>
      </c>
      <c r="C6" t="s">
        <v>12</v>
      </c>
      <c r="D6" t="s">
        <v>14</v>
      </c>
      <c r="E6" s="5">
        <v>0.24</v>
      </c>
      <c r="F6" s="4">
        <v>3456</v>
      </c>
      <c r="G6" s="6">
        <v>518.39740801296</v>
      </c>
      <c r="H6" t="str">
        <f>IF(Table1[[#This Row],[Rank]]=1,"Fix immediately",
IF(Table1[[#This Row],[Rank]]&lt;=2,"Fix today",
IF(Table1[[#This Row],[Rank]]&lt;=3,"Assign if capacity","Defer / Backlog")))</f>
        <v>Defer / Backlog</v>
      </c>
      <c r="I6" t="str">
        <f>IF(Table1[[#This Row],[Rank]]&lt;=2,"Yes","No")</f>
        <v>No</v>
      </c>
    </row>
    <row r="7" spans="1:9" x14ac:dyDescent="0.3">
      <c r="A7">
        <v>5</v>
      </c>
      <c r="B7" t="s">
        <v>15</v>
      </c>
      <c r="C7" t="s">
        <v>16</v>
      </c>
      <c r="D7" t="s">
        <v>14</v>
      </c>
      <c r="E7" s="5">
        <v>0.12</v>
      </c>
      <c r="F7" s="4">
        <v>720</v>
      </c>
      <c r="G7" s="6">
        <v>30</v>
      </c>
      <c r="H7" t="str">
        <f>IF(Table1[[#This Row],[Rank]]=1,"Fix immediately",
IF(Table1[[#This Row],[Rank]]&lt;=2,"Fix today",
IF(Table1[[#This Row],[Rank]]&lt;=3,"Assign if capacity","Defer / Backlog")))</f>
        <v>Defer / Backlog</v>
      </c>
      <c r="I7" t="str">
        <f>IF(Table1[[#This Row],[Rank]]&lt;=2,"Yes","No")</f>
        <v>No</v>
      </c>
    </row>
  </sheetData>
  <conditionalFormatting sqref="D3: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percent" val="0"/>
        <cfvo type="max"/>
        <color rgb="FFFF7128"/>
        <color rgb="FFFFEF9C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Impact Summary</vt:lpstr>
      <vt:lpstr>Trade-off Comparison</vt:lpstr>
      <vt:lpstr>Daily Ticket Prioritization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Pratibha Mehta</cp:lastModifiedBy>
  <dcterms:created xsi:type="dcterms:W3CDTF">2026-01-03T16:32:40Z</dcterms:created>
  <dcterms:modified xsi:type="dcterms:W3CDTF">2026-01-03T17:28:37Z</dcterms:modified>
</cp:coreProperties>
</file>